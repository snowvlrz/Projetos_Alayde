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eanMirandaDaSilva\Documents\"/>
    </mc:Choice>
  </mc:AlternateContent>
  <xr:revisionPtr revIDLastSave="0" documentId="8_{438FC1F9-8E67-4683-BF28-DC1B4D6B3B7E}" xr6:coauthVersionLast="47" xr6:coauthVersionMax="47" xr10:uidLastSave="{00000000-0000-0000-0000-000000000000}"/>
  <bookViews>
    <workbookView xWindow="-110" yWindow="-110" windowWidth="19420" windowHeight="10300" activeTab="1" xr2:uid="{79DF334F-9941-4998-A0C6-C66BACD64666}"/>
  </bookViews>
  <sheets>
    <sheet name="Controle de Estoque" sheetId="1" r:id="rId1"/>
    <sheet name="Despesas Mensais" sheetId="2" r:id="rId2"/>
    <sheet name="Controle de Ponto" sheetId="3" r:id="rId3"/>
    <sheet name="Índice de Aproveitamento" sheetId="4" r:id="rId4"/>
  </sheet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2" i="4"/>
  <c r="E4" i="3"/>
  <c r="E5" i="3"/>
  <c r="E6" i="3"/>
  <c r="E2" i="3"/>
  <c r="D3" i="3"/>
  <c r="E3" i="3" s="1"/>
  <c r="D4" i="3"/>
  <c r="D5" i="3"/>
  <c r="D6" i="3"/>
  <c r="D2" i="3"/>
  <c r="D2" i="2"/>
  <c r="D16" i="1"/>
  <c r="D15" i="1"/>
  <c r="D14" i="1"/>
  <c r="D13" i="1"/>
  <c r="D12" i="1"/>
  <c r="D11" i="1"/>
  <c r="D10" i="1"/>
  <c r="D9" i="1"/>
  <c r="D8" i="1"/>
  <c r="D7" i="1"/>
  <c r="D6" i="1"/>
  <c r="D3" i="1"/>
  <c r="D4" i="1"/>
  <c r="D5" i="1"/>
  <c r="D2" i="1"/>
  <c r="E2" i="1" l="1"/>
</calcChain>
</file>

<file path=xl/sharedStrings.xml><?xml version="1.0" encoding="utf-8"?>
<sst xmlns="http://schemas.openxmlformats.org/spreadsheetml/2006/main" count="75" uniqueCount="53">
  <si>
    <t>Produto</t>
  </si>
  <si>
    <t>Estoque Atual</t>
  </si>
  <si>
    <t>Estoque mínimo</t>
  </si>
  <si>
    <t>Situação</t>
  </si>
  <si>
    <t>Lápis</t>
  </si>
  <si>
    <t>Borracha</t>
  </si>
  <si>
    <t>Caderno</t>
  </si>
  <si>
    <t>Fichário</t>
  </si>
  <si>
    <t>Produtos À Repor</t>
  </si>
  <si>
    <t>Caneta</t>
  </si>
  <si>
    <t>Lapiseira</t>
  </si>
  <si>
    <t>Apontador</t>
  </si>
  <si>
    <t>Folha Sulfite</t>
  </si>
  <si>
    <t>Grafite</t>
  </si>
  <si>
    <t>Caneta Ponta Fina</t>
  </si>
  <si>
    <t>Lápis de Cor</t>
  </si>
  <si>
    <t>Canetinha</t>
  </si>
  <si>
    <t>Estojo</t>
  </si>
  <si>
    <t>Mochila</t>
  </si>
  <si>
    <t>Caderno de Desenho</t>
  </si>
  <si>
    <t>Categoria</t>
  </si>
  <si>
    <t>Valor</t>
  </si>
  <si>
    <t>Mês</t>
  </si>
  <si>
    <t>Alimentação</t>
  </si>
  <si>
    <t>Energia</t>
  </si>
  <si>
    <t>Internet</t>
  </si>
  <si>
    <t>Água</t>
  </si>
  <si>
    <t>Janeiro</t>
  </si>
  <si>
    <t>Fevereiro</t>
  </si>
  <si>
    <t>Março</t>
  </si>
  <si>
    <t>Meses de Janeiro e Fevereiro</t>
  </si>
  <si>
    <t>Total Geral</t>
  </si>
  <si>
    <t>Soma de Valor</t>
  </si>
  <si>
    <t>Categorias</t>
  </si>
  <si>
    <t>Funcionário</t>
  </si>
  <si>
    <t>Entrada</t>
  </si>
  <si>
    <t>Saída</t>
  </si>
  <si>
    <t>Horas Trabalhadas</t>
  </si>
  <si>
    <t>Roberto Silva</t>
  </si>
  <si>
    <t>José Santos</t>
  </si>
  <si>
    <t>João Pereira</t>
  </si>
  <si>
    <t>Maria Souza</t>
  </si>
  <si>
    <t>Silvana Pinheiros</t>
  </si>
  <si>
    <t>Hora Extra?</t>
  </si>
  <si>
    <t>Produção</t>
  </si>
  <si>
    <t>Meta</t>
  </si>
  <si>
    <t>% de Aproveitamento</t>
  </si>
  <si>
    <t>Ana Maria</t>
  </si>
  <si>
    <t>Rodrigo</t>
  </si>
  <si>
    <t>Sabrina</t>
  </si>
  <si>
    <t>Samanta</t>
  </si>
  <si>
    <t>Jorel</t>
  </si>
  <si>
    <t>Jaime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</si>
</sst>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2" xfId="0" applyBorder="1"/>
    <xf numFmtId="0" fontId="1" fillId="2" borderId="0" xfId="0" applyFont="1" applyFill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20" fontId="0" fillId="0" borderId="1" xfId="0" applyNumberFormat="1" applyBorder="1"/>
    <xf numFmtId="9" fontId="0" fillId="0" borderId="1" xfId="2" applyFont="1" applyBorder="1"/>
  </cellXfs>
  <cellStyles count="3">
    <cellStyle name="Moeda" xfId="1" builtinId="4"/>
    <cellStyle name="Normal" xfId="0" builtinId="0"/>
    <cellStyle name="Porcentagem" xfId="2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'Controle de Estoque'!$B$1</c:f>
              <c:strCache>
                <c:ptCount val="1"/>
                <c:pt idx="0">
                  <c:v>Estoque Atual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'Controle de Estoque'!$A$2:$A$16</c:f>
              <c:strCache>
                <c:ptCount val="15"/>
                <c:pt idx="0">
                  <c:v>Lápis</c:v>
                </c:pt>
                <c:pt idx="1">
                  <c:v>Borracha</c:v>
                </c:pt>
                <c:pt idx="2">
                  <c:v>Caderno</c:v>
                </c:pt>
                <c:pt idx="3">
                  <c:v>Fichário</c:v>
                </c:pt>
                <c:pt idx="4">
                  <c:v>Caneta</c:v>
                </c:pt>
                <c:pt idx="5">
                  <c:v>Lapiseira</c:v>
                </c:pt>
                <c:pt idx="6">
                  <c:v>Apontador</c:v>
                </c:pt>
                <c:pt idx="7">
                  <c:v>Folha Sulfite</c:v>
                </c:pt>
                <c:pt idx="8">
                  <c:v>Grafite</c:v>
                </c:pt>
                <c:pt idx="9">
                  <c:v>Caneta Ponta Fina</c:v>
                </c:pt>
                <c:pt idx="10">
                  <c:v>Lápis de Cor</c:v>
                </c:pt>
                <c:pt idx="11">
                  <c:v>Canetinha</c:v>
                </c:pt>
                <c:pt idx="12">
                  <c:v>Estojo</c:v>
                </c:pt>
                <c:pt idx="13">
                  <c:v>Mochila</c:v>
                </c:pt>
                <c:pt idx="14">
                  <c:v>Caderno de Desenho</c:v>
                </c:pt>
              </c:strCache>
            </c:strRef>
          </c:cat>
          <c:val>
            <c:numRef>
              <c:f>'Controle de Estoque'!$B$2:$B$16</c:f>
              <c:numCache>
                <c:formatCode>General</c:formatCode>
                <c:ptCount val="15"/>
                <c:pt idx="0">
                  <c:v>20</c:v>
                </c:pt>
                <c:pt idx="1">
                  <c:v>34</c:v>
                </c:pt>
                <c:pt idx="2">
                  <c:v>29</c:v>
                </c:pt>
                <c:pt idx="3">
                  <c:v>30</c:v>
                </c:pt>
                <c:pt idx="4">
                  <c:v>32</c:v>
                </c:pt>
                <c:pt idx="5">
                  <c:v>60</c:v>
                </c:pt>
                <c:pt idx="6">
                  <c:v>40</c:v>
                </c:pt>
                <c:pt idx="7">
                  <c:v>50</c:v>
                </c:pt>
                <c:pt idx="8">
                  <c:v>45</c:v>
                </c:pt>
                <c:pt idx="9">
                  <c:v>47</c:v>
                </c:pt>
                <c:pt idx="10">
                  <c:v>53</c:v>
                </c:pt>
                <c:pt idx="11">
                  <c:v>28</c:v>
                </c:pt>
                <c:pt idx="12">
                  <c:v>65</c:v>
                </c:pt>
                <c:pt idx="13">
                  <c:v>70</c:v>
                </c:pt>
                <c:pt idx="1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C-49CE-91AF-96D412C66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1679792"/>
        <c:axId val="971691312"/>
      </c:barChart>
      <c:catAx>
        <c:axId val="97167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1691312"/>
        <c:crosses val="autoZero"/>
        <c:auto val="1"/>
        <c:lblAlgn val="ctr"/>
        <c:lblOffset val="100"/>
        <c:noMultiLvlLbl val="0"/>
      </c:catAx>
      <c:valAx>
        <c:axId val="97169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167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[Atividades 25 de novembro de 2025.xlsx]Despesas Mensais!Tabela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'Despesas Mensais'!$F$1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'Despesas Mensais'!$E$2:$E$6</c:f>
              <c:strCache>
                <c:ptCount val="4"/>
                <c:pt idx="0">
                  <c:v>Água</c:v>
                </c:pt>
                <c:pt idx="1">
                  <c:v>Alimentação</c:v>
                </c:pt>
                <c:pt idx="2">
                  <c:v>Energia</c:v>
                </c:pt>
                <c:pt idx="3">
                  <c:v>Internet</c:v>
                </c:pt>
              </c:strCache>
            </c:strRef>
          </c:cat>
          <c:val>
            <c:numRef>
              <c:f>'Despesas Mensais'!$F$2:$F$6</c:f>
              <c:numCache>
                <c:formatCode>_("R$"* #,##0.00_);_("R$"* \(#,##0.00\);_("R$"* "-"??_);_(@_)</c:formatCode>
                <c:ptCount val="4"/>
                <c:pt idx="0">
                  <c:v>630</c:v>
                </c:pt>
                <c:pt idx="1">
                  <c:v>1720</c:v>
                </c:pt>
                <c:pt idx="2">
                  <c:v>525</c:v>
                </c:pt>
                <c:pt idx="3">
                  <c:v>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2-49F0-B23A-C5D689416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</xdr:row>
      <xdr:rowOff>12700</xdr:rowOff>
    </xdr:from>
    <xdr:to>
      <xdr:col>10</xdr:col>
      <xdr:colOff>498475</xdr:colOff>
      <xdr:row>16</xdr:row>
      <xdr:rowOff>177800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6E6E822-97AA-C700-7A70-67750E2A80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</xdr:colOff>
      <xdr:row>0</xdr:row>
      <xdr:rowOff>0</xdr:rowOff>
    </xdr:from>
    <xdr:to>
      <xdr:col>13</xdr:col>
      <xdr:colOff>307975</xdr:colOff>
      <xdr:row>14</xdr:row>
      <xdr:rowOff>165100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5CC26E-E320-6FED-FA7E-5E339CD333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an Miranda Da Silva" refreshedDate="45986.435715277781" createdVersion="8" refreshedVersion="8" minRefreshableVersion="3" recordCount="12" xr:uid="{2E0135C6-7630-4C40-8279-155FDA775ED0}">
  <cacheSource type="worksheet">
    <worksheetSource ref="A1:B13" sheet="Despesas Mensais"/>
  </cacheSource>
  <cacheFields count="2">
    <cacheField name="Categoria" numFmtId="0">
      <sharedItems count="4">
        <s v="Alimentação"/>
        <s v="Energia"/>
        <s v="Internet"/>
        <s v="Água"/>
      </sharedItems>
    </cacheField>
    <cacheField name="Valor" numFmtId="44">
      <sharedItems containsSemiMixedTypes="0" containsString="0" containsNumber="1" containsInteger="1" minValue="120" maxValue="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580"/>
  </r>
  <r>
    <x v="1"/>
    <n v="150"/>
  </r>
  <r>
    <x v="2"/>
    <n v="120"/>
  </r>
  <r>
    <x v="3"/>
    <n v="200"/>
  </r>
  <r>
    <x v="0"/>
    <n v="600"/>
  </r>
  <r>
    <x v="1"/>
    <n v="175"/>
  </r>
  <r>
    <x v="2"/>
    <n v="155"/>
  </r>
  <r>
    <x v="3"/>
    <n v="230"/>
  </r>
  <r>
    <x v="0"/>
    <n v="540"/>
  </r>
  <r>
    <x v="1"/>
    <n v="200"/>
  </r>
  <r>
    <x v="2"/>
    <n v="150"/>
  </r>
  <r>
    <x v="3"/>
    <n v="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CC202-9C24-4967-B9C5-22EA15F97599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Categorias">
  <location ref="E1:F6" firstHeaderRow="1" firstDataRow="1" firstDataCol="1"/>
  <pivotFields count="2">
    <pivotField axis="axisRow" showAll="0">
      <items count="5">
        <item x="3"/>
        <item x="0"/>
        <item x="1"/>
        <item x="2"/>
        <item t="default"/>
      </items>
    </pivotField>
    <pivotField dataField="1" numFmtId="4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" fld="1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D813C-B6C6-48F7-BE00-A347BE43E984}">
  <dimension ref="A1:E16"/>
  <sheetViews>
    <sheetView workbookViewId="0">
      <selection activeCell="L6" sqref="L6"/>
    </sheetView>
  </sheetViews>
  <sheetFormatPr defaultRowHeight="14.5" x14ac:dyDescent="0.35"/>
  <cols>
    <col min="1" max="1" width="17.36328125" customWidth="1"/>
    <col min="2" max="2" width="14.90625" customWidth="1"/>
    <col min="3" max="3" width="14.1796875" customWidth="1"/>
    <col min="4" max="4" width="13.7265625" customWidth="1"/>
    <col min="5" max="5" width="14.8164062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8</v>
      </c>
    </row>
    <row r="2" spans="1:5" x14ac:dyDescent="0.35">
      <c r="A2" s="2" t="s">
        <v>4</v>
      </c>
      <c r="B2" s="1">
        <v>20</v>
      </c>
      <c r="C2" s="1">
        <v>32</v>
      </c>
      <c r="D2" s="1" t="str">
        <f>IF(B2&gt;=C2, "OK", "Repor")</f>
        <v>Repor</v>
      </c>
      <c r="E2" s="3">
        <f>COUNTIF(D:D, "Repor")</f>
        <v>7</v>
      </c>
    </row>
    <row r="3" spans="1:5" x14ac:dyDescent="0.35">
      <c r="A3" s="2" t="s">
        <v>5</v>
      </c>
      <c r="B3" s="1">
        <v>34</v>
      </c>
      <c r="C3" s="1">
        <v>32</v>
      </c>
      <c r="D3" s="1" t="str">
        <f t="shared" ref="D3:D16" si="0">IF(B3&gt;=C3, "OK", "Repor")</f>
        <v>OK</v>
      </c>
    </row>
    <row r="4" spans="1:5" x14ac:dyDescent="0.35">
      <c r="A4" s="2" t="s">
        <v>6</v>
      </c>
      <c r="B4" s="1">
        <v>29</v>
      </c>
      <c r="C4" s="1">
        <v>48</v>
      </c>
      <c r="D4" s="1" t="str">
        <f t="shared" si="0"/>
        <v>Repor</v>
      </c>
    </row>
    <row r="5" spans="1:5" x14ac:dyDescent="0.35">
      <c r="A5" s="2" t="s">
        <v>7</v>
      </c>
      <c r="B5" s="1">
        <v>30</v>
      </c>
      <c r="C5" s="1">
        <v>20</v>
      </c>
      <c r="D5" s="1" t="str">
        <f t="shared" si="0"/>
        <v>OK</v>
      </c>
    </row>
    <row r="6" spans="1:5" x14ac:dyDescent="0.35">
      <c r="A6" s="2" t="s">
        <v>9</v>
      </c>
      <c r="B6" s="1">
        <v>32</v>
      </c>
      <c r="C6" s="1">
        <v>52</v>
      </c>
      <c r="D6" s="1" t="str">
        <f t="shared" si="0"/>
        <v>Repor</v>
      </c>
    </row>
    <row r="7" spans="1:5" x14ac:dyDescent="0.35">
      <c r="A7" s="2" t="s">
        <v>10</v>
      </c>
      <c r="B7" s="1">
        <v>60</v>
      </c>
      <c r="C7" s="1">
        <v>50</v>
      </c>
      <c r="D7" s="1" t="str">
        <f t="shared" si="0"/>
        <v>OK</v>
      </c>
    </row>
    <row r="8" spans="1:5" x14ac:dyDescent="0.35">
      <c r="A8" s="2" t="s">
        <v>11</v>
      </c>
      <c r="B8" s="1">
        <v>40</v>
      </c>
      <c r="C8" s="1">
        <v>33</v>
      </c>
      <c r="D8" s="1" t="str">
        <f t="shared" si="0"/>
        <v>OK</v>
      </c>
    </row>
    <row r="9" spans="1:5" x14ac:dyDescent="0.35">
      <c r="A9" s="2" t="s">
        <v>12</v>
      </c>
      <c r="B9" s="1">
        <v>50</v>
      </c>
      <c r="C9" s="1">
        <v>42</v>
      </c>
      <c r="D9" s="1" t="str">
        <f t="shared" si="0"/>
        <v>OK</v>
      </c>
    </row>
    <row r="10" spans="1:5" x14ac:dyDescent="0.35">
      <c r="A10" s="2" t="s">
        <v>13</v>
      </c>
      <c r="B10" s="1">
        <v>45</v>
      </c>
      <c r="C10" s="1">
        <v>43</v>
      </c>
      <c r="D10" s="1" t="str">
        <f t="shared" si="0"/>
        <v>OK</v>
      </c>
    </row>
    <row r="11" spans="1:5" x14ac:dyDescent="0.35">
      <c r="A11" s="2" t="s">
        <v>14</v>
      </c>
      <c r="B11" s="1">
        <v>47</v>
      </c>
      <c r="C11" s="1">
        <v>50</v>
      </c>
      <c r="D11" s="1" t="str">
        <f t="shared" si="0"/>
        <v>Repor</v>
      </c>
    </row>
    <row r="12" spans="1:5" x14ac:dyDescent="0.35">
      <c r="A12" s="2" t="s">
        <v>15</v>
      </c>
      <c r="B12" s="1">
        <v>53</v>
      </c>
      <c r="C12" s="1">
        <v>47</v>
      </c>
      <c r="D12" s="1" t="str">
        <f t="shared" si="0"/>
        <v>OK</v>
      </c>
    </row>
    <row r="13" spans="1:5" x14ac:dyDescent="0.35">
      <c r="A13" s="2" t="s">
        <v>16</v>
      </c>
      <c r="B13" s="1">
        <v>28</v>
      </c>
      <c r="C13" s="1">
        <v>39</v>
      </c>
      <c r="D13" s="1" t="str">
        <f t="shared" si="0"/>
        <v>Repor</v>
      </c>
    </row>
    <row r="14" spans="1:5" x14ac:dyDescent="0.35">
      <c r="A14" s="2" t="s">
        <v>17</v>
      </c>
      <c r="B14" s="1">
        <v>65</v>
      </c>
      <c r="C14" s="1">
        <v>70</v>
      </c>
      <c r="D14" s="1" t="str">
        <f t="shared" si="0"/>
        <v>Repor</v>
      </c>
    </row>
    <row r="15" spans="1:5" x14ac:dyDescent="0.35">
      <c r="A15" s="2" t="s">
        <v>18</v>
      </c>
      <c r="B15" s="1">
        <v>70</v>
      </c>
      <c r="C15" s="1">
        <v>70</v>
      </c>
      <c r="D15" s="1" t="str">
        <f t="shared" si="0"/>
        <v>OK</v>
      </c>
    </row>
    <row r="16" spans="1:5" x14ac:dyDescent="0.35">
      <c r="A16" s="2" t="s">
        <v>19</v>
      </c>
      <c r="B16" s="1">
        <v>36</v>
      </c>
      <c r="C16" s="1">
        <v>40</v>
      </c>
      <c r="D16" s="1" t="str">
        <f t="shared" si="0"/>
        <v>Repor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1673F-90B8-4AFB-833F-A6ED32B961A4}">
  <dimension ref="A1:F13"/>
  <sheetViews>
    <sheetView tabSelected="1" workbookViewId="0">
      <selection activeCell="D4" sqref="D4"/>
    </sheetView>
  </sheetViews>
  <sheetFormatPr defaultRowHeight="14.5" x14ac:dyDescent="0.35"/>
  <cols>
    <col min="1" max="1" width="12.26953125" customWidth="1"/>
    <col min="2" max="2" width="12.1796875" customWidth="1"/>
    <col min="3" max="3" width="11.54296875" customWidth="1"/>
    <col min="4" max="4" width="24.36328125" customWidth="1"/>
    <col min="5" max="5" width="12" bestFit="1" customWidth="1"/>
    <col min="6" max="6" width="12.6328125" bestFit="1" customWidth="1"/>
  </cols>
  <sheetData>
    <row r="1" spans="1:6" x14ac:dyDescent="0.35">
      <c r="A1" s="4" t="s">
        <v>20</v>
      </c>
      <c r="B1" s="4" t="s">
        <v>21</v>
      </c>
      <c r="C1" s="4" t="s">
        <v>22</v>
      </c>
      <c r="D1" s="4" t="s">
        <v>30</v>
      </c>
      <c r="E1" s="6" t="s">
        <v>33</v>
      </c>
      <c r="F1" t="s">
        <v>32</v>
      </c>
    </row>
    <row r="2" spans="1:6" x14ac:dyDescent="0.35">
      <c r="A2" s="4" t="s">
        <v>23</v>
      </c>
      <c r="B2" s="5">
        <v>580</v>
      </c>
      <c r="C2" t="s">
        <v>27</v>
      </c>
      <c r="D2" s="5">
        <f>SUMIF(C:C,"Janeiro",B:B) + SUMIF(C:C,"Fevereiro",B:B)</f>
        <v>2210</v>
      </c>
      <c r="E2" s="7" t="s">
        <v>26</v>
      </c>
      <c r="F2" s="8">
        <v>630</v>
      </c>
    </row>
    <row r="3" spans="1:6" x14ac:dyDescent="0.35">
      <c r="A3" s="4" t="s">
        <v>24</v>
      </c>
      <c r="B3" s="5">
        <v>150</v>
      </c>
      <c r="C3" t="s">
        <v>27</v>
      </c>
      <c r="E3" s="7" t="s">
        <v>23</v>
      </c>
      <c r="F3" s="8">
        <v>1720</v>
      </c>
    </row>
    <row r="4" spans="1:6" x14ac:dyDescent="0.35">
      <c r="A4" s="4" t="s">
        <v>25</v>
      </c>
      <c r="B4" s="5">
        <v>120</v>
      </c>
      <c r="C4" t="s">
        <v>27</v>
      </c>
      <c r="E4" s="7" t="s">
        <v>24</v>
      </c>
      <c r="F4" s="8">
        <v>525</v>
      </c>
    </row>
    <row r="5" spans="1:6" x14ac:dyDescent="0.35">
      <c r="A5" s="4" t="s">
        <v>26</v>
      </c>
      <c r="B5" s="5">
        <v>200</v>
      </c>
      <c r="C5" t="s">
        <v>27</v>
      </c>
      <c r="E5" s="7" t="s">
        <v>25</v>
      </c>
      <c r="F5" s="8">
        <v>425</v>
      </c>
    </row>
    <row r="6" spans="1:6" x14ac:dyDescent="0.35">
      <c r="A6" s="4" t="s">
        <v>23</v>
      </c>
      <c r="B6" s="5">
        <v>600</v>
      </c>
      <c r="C6" t="s">
        <v>28</v>
      </c>
      <c r="E6" s="7" t="s">
        <v>31</v>
      </c>
      <c r="F6" s="8">
        <v>3300</v>
      </c>
    </row>
    <row r="7" spans="1:6" x14ac:dyDescent="0.35">
      <c r="A7" s="4" t="s">
        <v>24</v>
      </c>
      <c r="B7" s="5">
        <v>175</v>
      </c>
      <c r="C7" t="s">
        <v>28</v>
      </c>
    </row>
    <row r="8" spans="1:6" x14ac:dyDescent="0.35">
      <c r="A8" s="4" t="s">
        <v>25</v>
      </c>
      <c r="B8" s="5">
        <v>155</v>
      </c>
      <c r="C8" t="s">
        <v>28</v>
      </c>
    </row>
    <row r="9" spans="1:6" x14ac:dyDescent="0.35">
      <c r="A9" s="4" t="s">
        <v>26</v>
      </c>
      <c r="B9" s="5">
        <v>230</v>
      </c>
      <c r="C9" t="s">
        <v>28</v>
      </c>
    </row>
    <row r="10" spans="1:6" x14ac:dyDescent="0.35">
      <c r="A10" s="4" t="s">
        <v>23</v>
      </c>
      <c r="B10" s="5">
        <v>540</v>
      </c>
      <c r="C10" t="s">
        <v>29</v>
      </c>
    </row>
    <row r="11" spans="1:6" x14ac:dyDescent="0.35">
      <c r="A11" s="4" t="s">
        <v>24</v>
      </c>
      <c r="B11" s="5">
        <v>200</v>
      </c>
      <c r="C11" t="s">
        <v>29</v>
      </c>
    </row>
    <row r="12" spans="1:6" x14ac:dyDescent="0.35">
      <c r="A12" s="4" t="s">
        <v>25</v>
      </c>
      <c r="B12" s="5">
        <v>150</v>
      </c>
      <c r="C12" t="s">
        <v>29</v>
      </c>
    </row>
    <row r="13" spans="1:6" x14ac:dyDescent="0.35">
      <c r="A13" s="4" t="s">
        <v>26</v>
      </c>
      <c r="B13" s="5">
        <v>200</v>
      </c>
      <c r="C13" t="s">
        <v>29</v>
      </c>
    </row>
  </sheetData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2FA31-6E58-4E34-8A63-87108F05D71A}">
  <dimension ref="A1:E6"/>
  <sheetViews>
    <sheetView workbookViewId="0">
      <selection activeCell="C4" sqref="C4"/>
    </sheetView>
  </sheetViews>
  <sheetFormatPr defaultRowHeight="14.5" x14ac:dyDescent="0.35"/>
  <cols>
    <col min="1" max="1" width="14.453125" customWidth="1"/>
    <col min="2" max="2" width="13.54296875" customWidth="1"/>
    <col min="3" max="3" width="13.453125" customWidth="1"/>
    <col min="4" max="4" width="17.26953125" customWidth="1"/>
    <col min="5" max="5" width="12.6328125" customWidth="1"/>
  </cols>
  <sheetData>
    <row r="1" spans="1:5" x14ac:dyDescent="0.35">
      <c r="A1" s="2" t="s">
        <v>34</v>
      </c>
      <c r="B1" s="2" t="s">
        <v>35</v>
      </c>
      <c r="C1" s="2" t="s">
        <v>36</v>
      </c>
      <c r="D1" s="2" t="s">
        <v>37</v>
      </c>
      <c r="E1" s="2" t="s">
        <v>43</v>
      </c>
    </row>
    <row r="2" spans="1:5" x14ac:dyDescent="0.35">
      <c r="A2" s="1" t="s">
        <v>38</v>
      </c>
      <c r="B2" s="9">
        <v>0.29166666666666669</v>
      </c>
      <c r="C2" s="9">
        <v>0.625</v>
      </c>
      <c r="D2" s="9">
        <f>C2-B2</f>
        <v>0.33333333333333331</v>
      </c>
      <c r="E2" s="1" t="str">
        <f>IF(D2&gt;TIME(8,0,0),"Sim","Não")</f>
        <v>Não</v>
      </c>
    </row>
    <row r="3" spans="1:5" x14ac:dyDescent="0.35">
      <c r="A3" s="1" t="s">
        <v>39</v>
      </c>
      <c r="B3" s="9">
        <v>0.35416666666666669</v>
      </c>
      <c r="C3" s="9">
        <v>0.77083333333333337</v>
      </c>
      <c r="D3" s="9">
        <f t="shared" ref="D3:D6" si="0">C3-B3</f>
        <v>0.41666666666666669</v>
      </c>
      <c r="E3" s="1" t="str">
        <f t="shared" ref="E3:E6" si="1">IF(D3&gt;TIME(8,0,0),"Sim","Não")</f>
        <v>Sim</v>
      </c>
    </row>
    <row r="4" spans="1:5" x14ac:dyDescent="0.35">
      <c r="A4" s="1" t="s">
        <v>40</v>
      </c>
      <c r="B4" s="9">
        <v>0.3125</v>
      </c>
      <c r="C4" s="9">
        <v>0.58333333333333337</v>
      </c>
      <c r="D4" s="9">
        <f t="shared" si="0"/>
        <v>0.27083333333333337</v>
      </c>
      <c r="E4" s="1" t="str">
        <f t="shared" si="1"/>
        <v>Não</v>
      </c>
    </row>
    <row r="5" spans="1:5" x14ac:dyDescent="0.35">
      <c r="A5" s="1" t="s">
        <v>41</v>
      </c>
      <c r="B5" s="9">
        <v>0.33333333333333331</v>
      </c>
      <c r="C5" s="9">
        <v>0.5</v>
      </c>
      <c r="D5" s="9">
        <f t="shared" si="0"/>
        <v>0.16666666666666669</v>
      </c>
      <c r="E5" s="1" t="str">
        <f t="shared" si="1"/>
        <v>Não</v>
      </c>
    </row>
    <row r="6" spans="1:5" x14ac:dyDescent="0.35">
      <c r="A6" s="1" t="s">
        <v>42</v>
      </c>
      <c r="B6" s="9">
        <v>0.32291666666666669</v>
      </c>
      <c r="C6" s="9">
        <v>0.66666666666666663</v>
      </c>
      <c r="D6" s="9">
        <f t="shared" si="0"/>
        <v>0.34374999999999994</v>
      </c>
      <c r="E6" s="1" t="str">
        <f t="shared" si="1"/>
        <v>Sim</v>
      </c>
    </row>
  </sheetData>
  <conditionalFormatting sqref="E1:E1048576">
    <cfRule type="containsText" dxfId="0" priority="5" operator="containsText" text="&quot;Não&quot;">
      <formula>NOT(ISERROR(SEARCH("""Não""",E1)))</formula>
    </cfRule>
    <cfRule type="cellIs" dxfId="1" priority="4" operator="equal">
      <formula>"""Não"""</formula>
    </cfRule>
    <cfRule type="containsText" dxfId="2" priority="2" operator="containsText" text="Não">
      <formula>NOT(ISERROR(SEARCH("Não",E1)))</formula>
    </cfRule>
    <cfRule type="containsText" dxfId="3" priority="1" operator="containsText" text="Sim">
      <formula>NOT(ISERROR(SEARCH("Sim",E1)))</formula>
    </cfRule>
  </conditionalFormatting>
  <conditionalFormatting sqref="E2:E6">
    <cfRule type="containsText" dxfId="8" priority="3" operator="containsText" text="&quot;Não&quot;">
      <formula>NOT(ISERROR(SEARCH("""Não""",E2)))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056C2-00E0-4D33-828B-5E43CB1AC8A4}">
  <dimension ref="A1:D7"/>
  <sheetViews>
    <sheetView workbookViewId="0">
      <selection activeCell="F2" sqref="F2"/>
    </sheetView>
  </sheetViews>
  <sheetFormatPr defaultRowHeight="14.5" x14ac:dyDescent="0.35"/>
  <cols>
    <col min="1" max="1" width="12.1796875" customWidth="1"/>
    <col min="2" max="2" width="11.6328125" customWidth="1"/>
    <col min="3" max="3" width="11" customWidth="1"/>
    <col min="4" max="4" width="17.54296875" customWidth="1"/>
  </cols>
  <sheetData>
    <row r="1" spans="1:4" x14ac:dyDescent="0.35">
      <c r="A1" s="2" t="s">
        <v>34</v>
      </c>
      <c r="B1" s="2" t="s">
        <v>44</v>
      </c>
      <c r="C1" s="2" t="s">
        <v>45</v>
      </c>
      <c r="D1" s="2" t="s">
        <v>46</v>
      </c>
    </row>
    <row r="2" spans="1:4" x14ac:dyDescent="0.35">
      <c r="A2" s="2" t="s">
        <v>47</v>
      </c>
      <c r="B2" s="1">
        <v>80</v>
      </c>
      <c r="C2" s="1">
        <v>60</v>
      </c>
      <c r="D2" s="10">
        <f>B2/C2</f>
        <v>1.3333333333333333</v>
      </c>
    </row>
    <row r="3" spans="1:4" x14ac:dyDescent="0.35">
      <c r="A3" s="2" t="s">
        <v>48</v>
      </c>
      <c r="B3" s="1">
        <v>75</v>
      </c>
      <c r="C3" s="1">
        <v>78</v>
      </c>
      <c r="D3" s="10">
        <f t="shared" ref="D3:D7" si="0">B3/C3</f>
        <v>0.96153846153846156</v>
      </c>
    </row>
    <row r="4" spans="1:4" x14ac:dyDescent="0.35">
      <c r="A4" s="2" t="s">
        <v>49</v>
      </c>
      <c r="B4" s="1">
        <v>83</v>
      </c>
      <c r="C4" s="1">
        <v>80</v>
      </c>
      <c r="D4" s="10">
        <f t="shared" si="0"/>
        <v>1.0375000000000001</v>
      </c>
    </row>
    <row r="5" spans="1:4" x14ac:dyDescent="0.35">
      <c r="A5" s="2" t="s">
        <v>50</v>
      </c>
      <c r="B5" s="1">
        <v>72</v>
      </c>
      <c r="C5" s="1">
        <v>72</v>
      </c>
      <c r="D5" s="10">
        <f t="shared" si="0"/>
        <v>1</v>
      </c>
    </row>
    <row r="6" spans="1:4" x14ac:dyDescent="0.35">
      <c r="A6" s="2" t="s">
        <v>51</v>
      </c>
      <c r="B6" s="1">
        <v>47</v>
      </c>
      <c r="C6" s="1">
        <v>85</v>
      </c>
      <c r="D6" s="10">
        <f t="shared" si="0"/>
        <v>0.55294117647058827</v>
      </c>
    </row>
    <row r="7" spans="1:4" x14ac:dyDescent="0.35">
      <c r="A7" s="2" t="s">
        <v>52</v>
      </c>
      <c r="B7" s="1">
        <v>90</v>
      </c>
      <c r="C7" s="1">
        <v>79</v>
      </c>
      <c r="D7" s="10">
        <f t="shared" si="0"/>
        <v>1.139240506329114</v>
      </c>
    </row>
  </sheetData>
  <conditionalFormatting sqref="D1:D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{40A9DD06-F02E-4502-8A4D-2272DEFE822A}</x14:id>
        </ext>
      </extLst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A9DD06-F02E-4502-8A4D-2272DEFE82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Controle de Estoque</vt:lpstr>
      <vt:lpstr>Despesas Mensais</vt:lpstr>
      <vt:lpstr>Controle de Ponto</vt:lpstr>
      <vt:lpstr>Índice de Aproveitamento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Miranda Da Silva</dc:creator>
  <cp:lastModifiedBy>Jean Miranda Da Silva</cp:lastModifiedBy>
  <cp:lastPrinted>2025-11-25T14:39:50Z</cp:lastPrinted>
  <dcterms:created xsi:type="dcterms:W3CDTF">2025-11-18T13:22:20Z</dcterms:created>
  <dcterms:modified xsi:type="dcterms:W3CDTF">2025-11-25T14:40:26Z</dcterms:modified>
</cp:coreProperties>
</file>